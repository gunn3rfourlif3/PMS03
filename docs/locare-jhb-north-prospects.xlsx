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Search plan" sheetId="2" state="visible" r:id="rId4"/>
    <sheet name="Suppression" sheetId="3" state="visible" r:id="rId5"/>
  </sheets>
  <definedNames>
    <definedName function="false" hidden="true" localSheetId="0" name="_xlnm._FilterDatabase" vbProcedure="false">Prospects!$A$4:$M$64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Locare</author>
  </authors>
  <commentList>
    <comment ref="A4" authorId="0">
      <text>
        <r>
          <rPr>
            <sz val="10"/>
            <rFont val="Arial"/>
            <family val="2"/>
          </rPr>
          <t xml:space="preserve">Trading name as it appears on their own site.</t>
        </r>
      </text>
    </comment>
    <comment ref="B4" authorId="0">
      <text>
        <r>
          <rPr>
            <sz val="10"/>
            <rFont val="Arial"/>
            <family val="2"/>
          </rPr>
          <t xml:space="preserve">JHB North suburb. Use the list on the Search plan tab.</t>
        </r>
      </text>
    </comment>
    <comment ref="C4" authorId="0">
      <text>
        <r>
          <rPr>
            <sz val="10"/>
            <rFont val="Arial"/>
            <family val="2"/>
          </rPr>
          <t xml:space="preserve">Their own site. Blank = weak fit; a brand-conscious agency has one.</t>
        </r>
      </text>
    </comment>
    <comment ref="D4" authorId="0">
      <text>
        <r>
          <rPr>
            <sz val="10"/>
            <rFont val="Arial"/>
            <family val="2"/>
          </rPr>
          <t xml:space="preserve">Y / N / ? — from theppra.org.za practitioner search. N is a hard stop.</t>
        </r>
      </text>
    </comment>
    <comment ref="E4" authorId="0">
      <text>
        <r>
          <rPr>
            <sz val="10"/>
            <rFont val="Arial"/>
            <family val="2"/>
          </rPr>
          <t xml:space="preserve">Count seen on Property24 or Private Property. Size proxy, not a unit count.</t>
        </r>
      </text>
    </comment>
    <comment ref="F4" authorId="0">
      <text>
        <r>
          <rPr>
            <sz val="10"/>
            <rFont val="Arial"/>
            <family val="2"/>
          </rPr>
          <t xml:space="preserve">Y / N. Y means they have already bought something — excluded by your call.</t>
        </r>
      </text>
    </comment>
    <comment ref="G4" authorId="0">
      <text>
        <r>
          <rPr>
            <sz val="10"/>
            <rFont val="Arial"/>
            <family val="2"/>
          </rPr>
          <t xml:space="preserve">info@ / rentals@ / admin@ ONLY. Never a named person — POPIA s69.</t>
        </r>
      </text>
    </comment>
    <comment ref="H4" authorId="0">
      <text>
        <r>
          <rPr>
            <sz val="10"/>
            <rFont val="Arial"/>
            <family val="2"/>
          </rPr>
          <t xml:space="preserve">Auto: GOOD / MAYBE / NO. Do not type in this column.</t>
        </r>
      </text>
    </comment>
    <comment ref="I4" authorId="0">
      <text>
        <r>
          <rPr>
            <sz val="10"/>
            <rFont val="Arial"/>
            <family val="2"/>
          </rPr>
          <t xml:space="preserve">Auto: the reason for the Fit verdict.</t>
        </r>
      </text>
    </comment>
    <comment ref="J4" authorId="0">
      <text>
        <r>
          <rPr>
            <sz val="10"/>
            <rFont val="Arial"/>
            <family val="2"/>
          </rPr>
          <t xml:space="preserve">yyyy-mm-dd. Leave blank until actually sent.</t>
        </r>
      </text>
    </comment>
    <comment ref="K4" authorId="0">
      <text>
        <r>
          <rPr>
            <sz val="10"/>
            <rFont val="Arial"/>
            <family val="2"/>
          </rPr>
          <t xml:space="preserve">yyyy-mm-dd. One only, ~7 days later.</t>
        </r>
      </text>
    </comment>
    <comment ref="L4" authorId="0">
      <text>
        <r>
          <rPr>
            <sz val="10"/>
            <rFont val="Arial"/>
            <family val="2"/>
          </rPr>
          <t xml:space="preserve">Replied / Demo / Won / Lost / No reply / Opted out</t>
        </r>
      </text>
    </comment>
    <comment ref="M4" authorId="0">
      <text>
        <r>
          <rPr>
            <sz val="10"/>
            <rFont val="Arial"/>
            <family val="2"/>
          </rPr>
          <t xml:space="preserve">The real reason, especially for Lost. This is the only data on why deals fail.</t>
        </r>
      </text>
    </comment>
  </commentList>
</comments>
</file>

<file path=xl/sharedStrings.xml><?xml version="1.0" encoding="utf-8"?>
<sst xmlns="http://schemas.openxmlformats.org/spreadsheetml/2006/main" count="93" uniqueCount="91">
  <si>
    <t xml:space="preserve">Locare — JHB North prospect list (audit-aftermath sequence)</t>
  </si>
  <si>
    <t xml:space="preserve">Fill the white columns. Fit and Why calculate themselves. Send only to role addresses — see the POPIA note on the Search plan tab.</t>
  </si>
  <si>
    <t xml:space="preserve">Agency</t>
  </si>
  <si>
    <t xml:space="preserve">Suburb</t>
  </si>
  <si>
    <t xml:space="preserve">Website</t>
  </si>
  <si>
    <t xml:space="preserve">PPRA registered</t>
  </si>
  <si>
    <t xml:space="preserve">Rental listings</t>
  </si>
  <si>
    <t xml:space="preserve">Tenant portal?</t>
  </si>
  <si>
    <t xml:space="preserve">Role email</t>
  </si>
  <si>
    <t xml:space="preserve">Fit</t>
  </si>
  <si>
    <t xml:space="preserve">Why</t>
  </si>
  <si>
    <t xml:space="preserve">Date sent</t>
  </si>
  <si>
    <t xml:space="preserve">Follow-up sent</t>
  </si>
  <si>
    <t xml:space="preserve">Outcome</t>
  </si>
  <si>
    <t xml:space="preserve">Reason</t>
  </si>
  <si>
    <t xml:space="preserve">Example Props (delete this row)</t>
  </si>
  <si>
    <t xml:space="preserve">Bryanston</t>
  </si>
  <si>
    <t xml:space="preserve">exampleprops.co.za</t>
  </si>
  <si>
    <t xml:space="preserve">Y</t>
  </si>
  <si>
    <t xml:space="preserve">N</t>
  </si>
  <si>
    <t xml:space="preserve">rentals@exampleprops.co.za</t>
  </si>
  <si>
    <t xml:space="preserve">Totals</t>
  </si>
  <si>
    <t xml:space="preserve">Rows filled</t>
  </si>
  <si>
    <t xml:space="preserve">(the example row is excluded)</t>
  </si>
  <si>
    <t xml:space="preserve">GOOD fit</t>
  </si>
  <si>
    <t xml:space="preserve">Emails sent</t>
  </si>
  <si>
    <t xml:space="preserve">Replies</t>
  </si>
  <si>
    <t xml:space="preserve">Reply rate</t>
  </si>
  <si>
    <t xml:space="preserve">Opted out</t>
  </si>
  <si>
    <t xml:space="preserve">Add every opt-out to the Suppression tab as well.</t>
  </si>
  <si>
    <t xml:space="preserve">How to build the list — JHB North</t>
  </si>
  <si>
    <t xml:space="preserve">Order of work</t>
  </si>
  <si>
    <t xml:space="preserve">1. PPRA register</t>
  </si>
  <si>
    <t xml:space="preserve">theppra.org.za/practitioner-search/</t>
  </si>
  <si>
    <t xml:space="preserve">Search letter by letter. This is the only complete list of the market and it confirms a valid FFC — which also confirms they hold a trust account, and therefore have a trust audit. Record Y/N in column D.</t>
  </si>
  <si>
    <t xml:space="preserve">2. Portal browsing</t>
  </si>
  <si>
    <t xml:space="preserve">property24.com · privateproperty.co.za</t>
  </si>
  <si>
    <t xml:space="preserve">Browse RENTALS by the suburbs below, as a tenant would. Note which agencies recur and roughly how many rental listings each has. That count goes in column E as a size proxy.</t>
  </si>
  <si>
    <t xml:space="preserve">3. Their own website</t>
  </si>
  <si>
    <t xml:space="preserve">found via the portal listing or a search</t>
  </si>
  <si>
    <t xml:space="preserve">The only place you take a contact address from. Look for a role mailbox, and check whether they run a tenant portal or login (column F).</t>
  </si>
  <si>
    <t xml:space="preserve">4. Qualify</t>
  </si>
  <si>
    <t xml:space="preserve">the Fit column does this</t>
  </si>
  <si>
    <t xml:space="preserve">Sort by Fit, take the GOOD rows, stop at 40. Do not send to a MAYBE just to make the number.</t>
  </si>
  <si>
    <t xml:space="preserve">Do not do this</t>
  </si>
  <si>
    <t xml:space="preserve">•  Property24's robots.txt explicitly disallows /ListingReadOnly/ShowContactEmails and /ShowContactNumbers — the endpoints that reveal agent contact details. Take contacts from the agency's own site instead.</t>
  </si>
  <si>
    <t xml:space="preserve">•  Do not collect named individuals' email addresses. Role mailboxes only (POPIA note below).</t>
  </si>
  <si>
    <t xml:space="preserve">•  Do not buy a list. A purchased contact carries no consent chain, and s69 does not care where it came from.</t>
  </si>
  <si>
    <t xml:space="preserve">POPIA in one line</t>
  </si>
  <si>
    <t xml:space="preserve">Send only to a role address (info@, rentals@, admin@) — the Information Regulator's December 2024 guidance treats that as targeting the business, not a natural person. Identify yourself as Locare (Pty) Ltd, include a working opt-out, honour any objection permanently, and log it on the Suppression tab. One email plus one follow-up, then stop.</t>
  </si>
  <si>
    <t xml:space="preserve">JHB North suburbs to search</t>
  </si>
  <si>
    <t xml:space="preserve">Work down the list; tick as you go. Column B is for a note on what you found.</t>
  </si>
  <si>
    <t xml:space="preserve">Done?</t>
  </si>
  <si>
    <t xml:space="preserve">Notes</t>
  </si>
  <si>
    <t xml:space="preserve">Sandton</t>
  </si>
  <si>
    <t xml:space="preserve">Morningside</t>
  </si>
  <si>
    <t xml:space="preserve">Rivonia</t>
  </si>
  <si>
    <t xml:space="preserve">Sunninghill</t>
  </si>
  <si>
    <t xml:space="preserve">Woodmead</t>
  </si>
  <si>
    <t xml:space="preserve">Fourways</t>
  </si>
  <si>
    <t xml:space="preserve">Lonehill</t>
  </si>
  <si>
    <t xml:space="preserve">Douglasdale</t>
  </si>
  <si>
    <t xml:space="preserve">Sandown</t>
  </si>
  <si>
    <t xml:space="preserve">Hyde Park</t>
  </si>
  <si>
    <t xml:space="preserve">Illovo</t>
  </si>
  <si>
    <t xml:space="preserve">Melrose</t>
  </si>
  <si>
    <t xml:space="preserve">Rosebank</t>
  </si>
  <si>
    <t xml:space="preserve">Parktown North</t>
  </si>
  <si>
    <t xml:space="preserve">Parkhurst</t>
  </si>
  <si>
    <t xml:space="preserve">Craighall</t>
  </si>
  <si>
    <t xml:space="preserve">Greenside</t>
  </si>
  <si>
    <t xml:space="preserve">Emmarentia</t>
  </si>
  <si>
    <t xml:space="preserve">Victory Park</t>
  </si>
  <si>
    <t xml:space="preserve">Linden</t>
  </si>
  <si>
    <t xml:space="preserve">Melville</t>
  </si>
  <si>
    <t xml:space="preserve">Northcliff</t>
  </si>
  <si>
    <t xml:space="preserve">Cresta</t>
  </si>
  <si>
    <t xml:space="preserve">Blairgowrie</t>
  </si>
  <si>
    <t xml:space="preserve">Ferndale</t>
  </si>
  <si>
    <t xml:space="preserve">Randburg</t>
  </si>
  <si>
    <t xml:space="preserve">Bordeaux</t>
  </si>
  <si>
    <t xml:space="preserve">Fontainebleau</t>
  </si>
  <si>
    <t xml:space="preserve">Kyalami</t>
  </si>
  <si>
    <t xml:space="preserve">Midrand</t>
  </si>
  <si>
    <t xml:space="preserve">Waverley</t>
  </si>
  <si>
    <t xml:space="preserve">32 suburbs. Stop once you have 40 GOOD rows — you do not need to finish the list.</t>
  </si>
  <si>
    <t xml:space="preserve">Suppression list — never contact again</t>
  </si>
  <si>
    <t xml:space="preserve">A POPIA obligation, not a courtesy. Anyone who objects goes here immediately and permanently, including for the quarterly re-runs of this sequence. Check this list before every send.</t>
  </si>
  <si>
    <t xml:space="preserve">Email or agency</t>
  </si>
  <si>
    <t xml:space="preserve">Date</t>
  </si>
  <si>
    <t xml:space="preserve">How they objected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</si>
</sst>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161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93C1D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93C1D"/>
      <name val="Arial"/>
      <family val="0"/>
      <charset val="1"/>
    </font>
    <font>
      <sz val="10"/>
      <name val="Arial"/>
      <family val="2"/>
    </font>
    <font>
      <b val="true"/>
      <sz val="11"/>
      <color rgb="FF2D6A8F"/>
      <name val="Arial"/>
      <family val="0"/>
      <charset val="1"/>
    </font>
    <font>
      <b val="true"/>
      <sz val="11"/>
      <color rgb="FF993C1D"/>
      <name val="Arial"/>
      <family val="0"/>
      <charset val="1"/>
    </font>
    <font>
      <sz val="10"/>
      <color rgb="FF993C1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6A8F"/>
        <bgColor rgb="FF008080"/>
      </patternFill>
    </fill>
    <fill>
      <patternFill patternType="solid">
        <fgColor rgb="FFFFF3CD"/>
        <bgColor rgb="FFF1EFE8"/>
      </patternFill>
    </fill>
    <fill>
      <patternFill patternType="solid">
        <fgColor rgb="FFF1EFE8"/>
        <bgColor rgb="FFEAF3DE"/>
      </patternFill>
    </fill>
    <fill>
      <patternFill patternType="solid">
        <fgColor rgb="FFEAF3DE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D6A8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3C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5F5E5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8F"/>
      <rgbColor rgb="FFD3D1C7"/>
      <rgbColor rgb="FF5F5E5A"/>
      <rgbColor rgb="FF9999FF"/>
      <rgbColor rgb="FF993366"/>
      <rgbColor rgb="FFFFF3CD"/>
      <rgbColor rgb="FFF1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5161B"/>
      <rgbColor rgb="FF333300"/>
      <rgbColor rgb="FF993C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6" min="4" style="0" width="14"/>
    <col collapsed="false" customWidth="true" hidden="false" outlineLevel="0" max="7" min="7" style="0" width="28"/>
    <col collapsed="false" customWidth="true" hidden="false" outlineLevel="0" max="8" min="8" style="0" width="8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n">
        <v>42</v>
      </c>
      <c r="F5" s="4" t="s">
        <v>19</v>
      </c>
      <c r="G5" s="4" t="s">
        <v>20</v>
      </c>
      <c r="H5" s="5" t="str">
        <f aca="false">IF(A5="","",IF(D5="N","NO",IF(F5="Y","NO",IF(OR(D5="",E5=""),"MAYBE",IF(AND(E5&gt;=15,E5&lt;=120,C5&lt;&gt;"",G5&lt;&gt;""),"GOOD","MAYBE")))))</f>
        <v>GOOD</v>
      </c>
      <c r="I5" s="5" t="str">
        <f aca="false">IF(A5="","",IF(D5="N","Not PPRA registered",IF(F5="Y","Already has a tenant portal",IF(D5="","PPRA status unchecked",IF(E5="","Listing count unknown",IF(E5&lt;15,"Too small - likely under 15 units",IF(E5&gt;120,"Larger than the target band - may need debit orders day one",IF(C5="","No own website - weak white-label fit",IF(G5="","Need a role email address","Fits: size band, own site, no portal")))))))))</f>
        <v>Fits: size band, own site, no portal</v>
      </c>
      <c r="J5" s="6"/>
      <c r="K5" s="6"/>
      <c r="L5" s="6"/>
      <c r="M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5" t="str">
        <f aca="false">IF(A6="","",IF(D6="N","NO",IF(F6="Y","NO",IF(OR(D6="",E6=""),"MAYBE",IF(AND(E6&gt;=15,E6&lt;=120,C6&lt;&gt;"",G6&lt;&gt;""),"GOOD","MAYBE")))))</f>
        <v/>
      </c>
      <c r="I6" s="5" t="str">
        <f aca="false">IF(A6="","",IF(D6="N","Not PPRA registered",IF(F6="Y","Already has a tenant portal",IF(D6="","PPRA status unchecked",IF(E6="","Listing count unknown",IF(E6&lt;15,"Too small - likely under 15 units",IF(E6&gt;120,"Larger than the target band - may need debit orders day one",IF(C6="","No own website - weak white-label fit",IF(G6="","Need a role email address","Fits: size band, own site, no portal")))))))))</f>
        <v/>
      </c>
      <c r="J6" s="6"/>
      <c r="K6" s="6"/>
      <c r="L6" s="6"/>
      <c r="M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5" t="str">
        <f aca="false">IF(A7="","",IF(D7="N","NO",IF(F7="Y","NO",IF(OR(D7="",E7=""),"MAYBE",IF(AND(E7&gt;=15,E7&lt;=120,C7&lt;&gt;"",G7&lt;&gt;""),"GOOD","MAYBE")))))</f>
        <v/>
      </c>
      <c r="I7" s="5" t="str">
        <f aca="false">IF(A7="","",IF(D7="N","Not PPRA registered",IF(F7="Y","Already has a tenant portal",IF(D7="","PPRA status unchecked",IF(E7="","Listing count unknown",IF(E7&lt;15,"Too small - likely under 15 units",IF(E7&gt;120,"Larger than the target band - may need debit orders day one",IF(C7="","No own website - weak white-label fit",IF(G7="","Need a role email address","Fits: size band, own site, no portal")))))))))</f>
        <v/>
      </c>
      <c r="J7" s="6"/>
      <c r="K7" s="6"/>
      <c r="L7" s="6"/>
      <c r="M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5" t="str">
        <f aca="false">IF(A8="","",IF(D8="N","NO",IF(F8="Y","NO",IF(OR(D8="",E8=""),"MAYBE",IF(AND(E8&gt;=15,E8&lt;=120,C8&lt;&gt;"",G8&lt;&gt;""),"GOOD","MAYBE")))))</f>
        <v/>
      </c>
      <c r="I8" s="5" t="str">
        <f aca="false">IF(A8="","",IF(D8="N","Not PPRA registered",IF(F8="Y","Already has a tenant portal",IF(D8="","PPRA status unchecked",IF(E8="","Listing count unknown",IF(E8&lt;15,"Too small - likely under 15 units",IF(E8&gt;120,"Larger than the target band - may need debit orders day one",IF(C8="","No own website - weak white-label fit",IF(G8="","Need a role email address","Fits: size band, own site, no portal")))))))))</f>
        <v/>
      </c>
      <c r="J8" s="6"/>
      <c r="K8" s="6"/>
      <c r="L8" s="6"/>
      <c r="M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5" t="str">
        <f aca="false">IF(A9="","",IF(D9="N","NO",IF(F9="Y","NO",IF(OR(D9="",E9=""),"MAYBE",IF(AND(E9&gt;=15,E9&lt;=120,C9&lt;&gt;"",G9&lt;&gt;""),"GOOD","MAYBE")))))</f>
        <v/>
      </c>
      <c r="I9" s="5" t="str">
        <f aca="false">IF(A9="","",IF(D9="N","Not PPRA registered",IF(F9="Y","Already has a tenant portal",IF(D9="","PPRA status unchecked",IF(E9="","Listing count unknown",IF(E9&lt;15,"Too small - likely under 15 units",IF(E9&gt;120,"Larger than the target band - may need debit orders day one",IF(C9="","No own website - weak white-label fit",IF(G9="","Need a role email address","Fits: size band, own site, no portal")))))))))</f>
        <v/>
      </c>
      <c r="J9" s="6"/>
      <c r="K9" s="6"/>
      <c r="L9" s="6"/>
      <c r="M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5" t="str">
        <f aca="false">IF(A10="","",IF(D10="N","NO",IF(F10="Y","NO",IF(OR(D10="",E10=""),"MAYBE",IF(AND(E10&gt;=15,E10&lt;=120,C10&lt;&gt;"",G10&lt;&gt;""),"GOOD","MAYBE")))))</f>
        <v/>
      </c>
      <c r="I10" s="5" t="str">
        <f aca="false">IF(A10="","",IF(D10="N","Not PPRA registered",IF(F10="Y","Already has a tenant portal",IF(D10="","PPRA status unchecked",IF(E10="","Listing count unknown",IF(E10&lt;15,"Too small - likely under 15 units",IF(E10&gt;120,"Larger than the target band - may need debit orders day one",IF(C10="","No own website - weak white-label fit",IF(G10="","Need a role email address","Fits: size band, own site, no portal")))))))))</f>
        <v/>
      </c>
      <c r="J10" s="6"/>
      <c r="K10" s="6"/>
      <c r="L10" s="6"/>
      <c r="M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5" t="str">
        <f aca="false">IF(A11="","",IF(D11="N","NO",IF(F11="Y","NO",IF(OR(D11="",E11=""),"MAYBE",IF(AND(E11&gt;=15,E11&lt;=120,C11&lt;&gt;"",G11&lt;&gt;""),"GOOD","MAYBE")))))</f>
        <v/>
      </c>
      <c r="I11" s="5" t="str">
        <f aca="false">IF(A11="","",IF(D11="N","Not PPRA registered",IF(F11="Y","Already has a tenant portal",IF(D11="","PPRA status unchecked",IF(E11="","Listing count unknown",IF(E11&lt;15,"Too small - likely under 15 units",IF(E11&gt;120,"Larger than the target band - may need debit orders day one",IF(C11="","No own website - weak white-label fit",IF(G11="","Need a role email address","Fits: size band, own site, no portal")))))))))</f>
        <v/>
      </c>
      <c r="J11" s="6"/>
      <c r="K11" s="6"/>
      <c r="L11" s="6"/>
      <c r="M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5" t="str">
        <f aca="false">IF(A12="","",IF(D12="N","NO",IF(F12="Y","NO",IF(OR(D12="",E12=""),"MAYBE",IF(AND(E12&gt;=15,E12&lt;=120,C12&lt;&gt;"",G12&lt;&gt;""),"GOOD","MAYBE")))))</f>
        <v/>
      </c>
      <c r="I12" s="5" t="str">
        <f aca="false">IF(A12="","",IF(D12="N","Not PPRA registered",IF(F12="Y","Already has a tenant portal",IF(D12="","PPRA status unchecked",IF(E12="","Listing count unknown",IF(E12&lt;15,"Too small - likely under 15 units",IF(E12&gt;120,"Larger than the target band - may need debit orders day one",IF(C12="","No own website - weak white-label fit",IF(G12="","Need a role email address","Fits: size band, own site, no portal")))))))))</f>
        <v/>
      </c>
      <c r="J12" s="6"/>
      <c r="K12" s="6"/>
      <c r="L12" s="6"/>
      <c r="M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5" t="str">
        <f aca="false">IF(A13="","",IF(D13="N","NO",IF(F13="Y","NO",IF(OR(D13="",E13=""),"MAYBE",IF(AND(E13&gt;=15,E13&lt;=120,C13&lt;&gt;"",G13&lt;&gt;""),"GOOD","MAYBE")))))</f>
        <v/>
      </c>
      <c r="I13" s="5" t="str">
        <f aca="false">IF(A13="","",IF(D13="N","Not PPRA registered",IF(F13="Y","Already has a tenant portal",IF(D13="","PPRA status unchecked",IF(E13="","Listing count unknown",IF(E13&lt;15,"Too small - likely under 15 units",IF(E13&gt;120,"Larger than the target band - may need debit orders day one",IF(C13="","No own website - weak white-label fit",IF(G13="","Need a role email address","Fits: size band, own site, no portal")))))))))</f>
        <v/>
      </c>
      <c r="J13" s="6"/>
      <c r="K13" s="6"/>
      <c r="L13" s="6"/>
      <c r="M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5" t="str">
        <f aca="false">IF(A14="","",IF(D14="N","NO",IF(F14="Y","NO",IF(OR(D14="",E14=""),"MAYBE",IF(AND(E14&gt;=15,E14&lt;=120,C14&lt;&gt;"",G14&lt;&gt;""),"GOOD","MAYBE")))))</f>
        <v/>
      </c>
      <c r="I14" s="5" t="str">
        <f aca="false">IF(A14="","",IF(D14="N","Not PPRA registered",IF(F14="Y","Already has a tenant portal",IF(D14="","PPRA status unchecked",IF(E14="","Listing count unknown",IF(E14&lt;15,"Too small - likely under 15 units",IF(E14&gt;120,"Larger than the target band - may need debit orders day one",IF(C14="","No own website - weak white-label fit",IF(G14="","Need a role email address","Fits: size band, own site, no portal")))))))))</f>
        <v/>
      </c>
      <c r="J14" s="6"/>
      <c r="K14" s="6"/>
      <c r="L14" s="6"/>
      <c r="M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5" t="str">
        <f aca="false">IF(A15="","",IF(D15="N","NO",IF(F15="Y","NO",IF(OR(D15="",E15=""),"MAYBE",IF(AND(E15&gt;=15,E15&lt;=120,C15&lt;&gt;"",G15&lt;&gt;""),"GOOD","MAYBE")))))</f>
        <v/>
      </c>
      <c r="I15" s="5" t="str">
        <f aca="false">IF(A15="","",IF(D15="N","Not PPRA registered",IF(F15="Y","Already has a tenant portal",IF(D15="","PPRA status unchecked",IF(E15="","Listing count unknown",IF(E15&lt;15,"Too small - likely under 15 units",IF(E15&gt;120,"Larger than the target band - may need debit orders day one",IF(C15="","No own website - weak white-label fit",IF(G15="","Need a role email address","Fits: size band, own site, no portal")))))))))</f>
        <v/>
      </c>
      <c r="J15" s="6"/>
      <c r="K15" s="6"/>
      <c r="L15" s="6"/>
      <c r="M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5" t="str">
        <f aca="false">IF(A16="","",IF(D16="N","NO",IF(F16="Y","NO",IF(OR(D16="",E16=""),"MAYBE",IF(AND(E16&gt;=15,E16&lt;=120,C16&lt;&gt;"",G16&lt;&gt;""),"GOOD","MAYBE")))))</f>
        <v/>
      </c>
      <c r="I16" s="5" t="str">
        <f aca="false">IF(A16="","",IF(D16="N","Not PPRA registered",IF(F16="Y","Already has a tenant portal",IF(D16="","PPRA status unchecked",IF(E16="","Listing count unknown",IF(E16&lt;15,"Too small - likely under 15 units",IF(E16&gt;120,"Larger than the target band - may need debit orders day one",IF(C16="","No own website - weak white-label fit",IF(G16="","Need a role email address","Fits: size band, own site, no portal")))))))))</f>
        <v/>
      </c>
      <c r="J16" s="6"/>
      <c r="K16" s="6"/>
      <c r="L16" s="6"/>
      <c r="M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5" t="str">
        <f aca="false">IF(A17="","",IF(D17="N","NO",IF(F17="Y","NO",IF(OR(D17="",E17=""),"MAYBE",IF(AND(E17&gt;=15,E17&lt;=120,C17&lt;&gt;"",G17&lt;&gt;""),"GOOD","MAYBE")))))</f>
        <v/>
      </c>
      <c r="I17" s="5" t="str">
        <f aca="false">IF(A17="","",IF(D17="N","Not PPRA registered",IF(F17="Y","Already has a tenant portal",IF(D17="","PPRA status unchecked",IF(E17="","Listing count unknown",IF(E17&lt;15,"Too small - likely under 15 units",IF(E17&gt;120,"Larger than the target band - may need debit orders day one",IF(C17="","No own website - weak white-label fit",IF(G17="","Need a role email address","Fits: size band, own site, no portal")))))))))</f>
        <v/>
      </c>
      <c r="J17" s="6"/>
      <c r="K17" s="6"/>
      <c r="L17" s="6"/>
      <c r="M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5" t="str">
        <f aca="false">IF(A18="","",IF(D18="N","NO",IF(F18="Y","NO",IF(OR(D18="",E18=""),"MAYBE",IF(AND(E18&gt;=15,E18&lt;=120,C18&lt;&gt;"",G18&lt;&gt;""),"GOOD","MAYBE")))))</f>
        <v/>
      </c>
      <c r="I18" s="5" t="str">
        <f aca="false">IF(A18="","",IF(D18="N","Not PPRA registered",IF(F18="Y","Already has a tenant portal",IF(D18="","PPRA status unchecked",IF(E18="","Listing count unknown",IF(E18&lt;15,"Too small - likely under 15 units",IF(E18&gt;120,"Larger than the target band - may need debit orders day one",IF(C18="","No own website - weak white-label fit",IF(G18="","Need a role email address","Fits: size band, own site, no portal")))))))))</f>
        <v/>
      </c>
      <c r="J18" s="6"/>
      <c r="K18" s="6"/>
      <c r="L18" s="6"/>
      <c r="M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5" t="str">
        <f aca="false">IF(A19="","",IF(D19="N","NO",IF(F19="Y","NO",IF(OR(D19="",E19=""),"MAYBE",IF(AND(E19&gt;=15,E19&lt;=120,C19&lt;&gt;"",G19&lt;&gt;""),"GOOD","MAYBE")))))</f>
        <v/>
      </c>
      <c r="I19" s="5" t="str">
        <f aca="false">IF(A19="","",IF(D19="N","Not PPRA registered",IF(F19="Y","Already has a tenant portal",IF(D19="","PPRA status unchecked",IF(E19="","Listing count unknown",IF(E19&lt;15,"Too small - likely under 15 units",IF(E19&gt;120,"Larger than the target band - may need debit orders day one",IF(C19="","No own website - weak white-label fit",IF(G19="","Need a role email address","Fits: size band, own site, no portal")))))))))</f>
        <v/>
      </c>
      <c r="J19" s="6"/>
      <c r="K19" s="6"/>
      <c r="L19" s="6"/>
      <c r="M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5" t="str">
        <f aca="false">IF(A20="","",IF(D20="N","NO",IF(F20="Y","NO",IF(OR(D20="",E20=""),"MAYBE",IF(AND(E20&gt;=15,E20&lt;=120,C20&lt;&gt;"",G20&lt;&gt;""),"GOOD","MAYBE")))))</f>
        <v/>
      </c>
      <c r="I20" s="5" t="str">
        <f aca="false">IF(A20="","",IF(D20="N","Not PPRA registered",IF(F20="Y","Already has a tenant portal",IF(D20="","PPRA status unchecked",IF(E20="","Listing count unknown",IF(E20&lt;15,"Too small - likely under 15 units",IF(E20&gt;120,"Larger than the target band - may need debit orders day one",IF(C20="","No own website - weak white-label fit",IF(G20="","Need a role email address","Fits: size band, own site, no portal")))))))))</f>
        <v/>
      </c>
      <c r="J20" s="6"/>
      <c r="K20" s="6"/>
      <c r="L20" s="6"/>
      <c r="M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5" t="str">
        <f aca="false">IF(A21="","",IF(D21="N","NO",IF(F21="Y","NO",IF(OR(D21="",E21=""),"MAYBE",IF(AND(E21&gt;=15,E21&lt;=120,C21&lt;&gt;"",G21&lt;&gt;""),"GOOD","MAYBE")))))</f>
        <v/>
      </c>
      <c r="I21" s="5" t="str">
        <f aca="false">IF(A21="","",IF(D21="N","Not PPRA registered",IF(F21="Y","Already has a tenant portal",IF(D21="","PPRA status unchecked",IF(E21="","Listing count unknown",IF(E21&lt;15,"Too small - likely under 15 units",IF(E21&gt;120,"Larger than the target band - may need debit orders day one",IF(C21="","No own website - weak white-label fit",IF(G21="","Need a role email address","Fits: size band, own site, no portal")))))))))</f>
        <v/>
      </c>
      <c r="J21" s="6"/>
      <c r="K21" s="6"/>
      <c r="L21" s="6"/>
      <c r="M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5" t="str">
        <f aca="false">IF(A22="","",IF(D22="N","NO",IF(F22="Y","NO",IF(OR(D22="",E22=""),"MAYBE",IF(AND(E22&gt;=15,E22&lt;=120,C22&lt;&gt;"",G22&lt;&gt;""),"GOOD","MAYBE")))))</f>
        <v/>
      </c>
      <c r="I22" s="5" t="str">
        <f aca="false">IF(A22="","",IF(D22="N","Not PPRA registered",IF(F22="Y","Already has a tenant portal",IF(D22="","PPRA status unchecked",IF(E22="","Listing count unknown",IF(E22&lt;15,"Too small - likely under 15 units",IF(E22&gt;120,"Larger than the target band - may need debit orders day one",IF(C22="","No own website - weak white-label fit",IF(G22="","Need a role email address","Fits: size band, own site, no portal")))))))))</f>
        <v/>
      </c>
      <c r="J22" s="6"/>
      <c r="K22" s="6"/>
      <c r="L22" s="6"/>
      <c r="M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5" t="str">
        <f aca="false">IF(A23="","",IF(D23="N","NO",IF(F23="Y","NO",IF(OR(D23="",E23=""),"MAYBE",IF(AND(E23&gt;=15,E23&lt;=120,C23&lt;&gt;"",G23&lt;&gt;""),"GOOD","MAYBE")))))</f>
        <v/>
      </c>
      <c r="I23" s="5" t="str">
        <f aca="false">IF(A23="","",IF(D23="N","Not PPRA registered",IF(F23="Y","Already has a tenant portal",IF(D23="","PPRA status unchecked",IF(E23="","Listing count unknown",IF(E23&lt;15,"Too small - likely under 15 units",IF(E23&gt;120,"Larger than the target band - may need debit orders day one",IF(C23="","No own website - weak white-label fit",IF(G23="","Need a role email address","Fits: size band, own site, no portal")))))))))</f>
        <v/>
      </c>
      <c r="J23" s="6"/>
      <c r="K23" s="6"/>
      <c r="L23" s="6"/>
      <c r="M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5" t="str">
        <f aca="false">IF(A24="","",IF(D24="N","NO",IF(F24="Y","NO",IF(OR(D24="",E24=""),"MAYBE",IF(AND(E24&gt;=15,E24&lt;=120,C24&lt;&gt;"",G24&lt;&gt;""),"GOOD","MAYBE")))))</f>
        <v/>
      </c>
      <c r="I24" s="5" t="str">
        <f aca="false">IF(A24="","",IF(D24="N","Not PPRA registered",IF(F24="Y","Already has a tenant portal",IF(D24="","PPRA status unchecked",IF(E24="","Listing count unknown",IF(E24&lt;15,"Too small - likely under 15 units",IF(E24&gt;120,"Larger than the target band - may need debit orders day one",IF(C24="","No own website - weak white-label fit",IF(G24="","Need a role email address","Fits: size band, own site, no portal")))))))))</f>
        <v/>
      </c>
      <c r="J24" s="6"/>
      <c r="K24" s="6"/>
      <c r="L24" s="6"/>
      <c r="M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5" t="str">
        <f aca="false">IF(A25="","",IF(D25="N","NO",IF(F25="Y","NO",IF(OR(D25="",E25=""),"MAYBE",IF(AND(E25&gt;=15,E25&lt;=120,C25&lt;&gt;"",G25&lt;&gt;""),"GOOD","MAYBE")))))</f>
        <v/>
      </c>
      <c r="I25" s="5" t="str">
        <f aca="false">IF(A25="","",IF(D25="N","Not PPRA registered",IF(F25="Y","Already has a tenant portal",IF(D25="","PPRA status unchecked",IF(E25="","Listing count unknown",IF(E25&lt;15,"Too small - likely under 15 units",IF(E25&gt;120,"Larger than the target band - may need debit orders day one",IF(C25="","No own website - weak white-label fit",IF(G25="","Need a role email address","Fits: size band, own site, no portal")))))))))</f>
        <v/>
      </c>
      <c r="J25" s="6"/>
      <c r="K25" s="6"/>
      <c r="L25" s="6"/>
      <c r="M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5" t="str">
        <f aca="false">IF(A26="","",IF(D26="N","NO",IF(F26="Y","NO",IF(OR(D26="",E26=""),"MAYBE",IF(AND(E26&gt;=15,E26&lt;=120,C26&lt;&gt;"",G26&lt;&gt;""),"GOOD","MAYBE")))))</f>
        <v/>
      </c>
      <c r="I26" s="5" t="str">
        <f aca="false">IF(A26="","",IF(D26="N","Not PPRA registered",IF(F26="Y","Already has a tenant portal",IF(D26="","PPRA status unchecked",IF(E26="","Listing count unknown",IF(E26&lt;15,"Too small - likely under 15 units",IF(E26&gt;120,"Larger than the target band - may need debit orders day one",IF(C26="","No own website - weak white-label fit",IF(G26="","Need a role email address","Fits: size band, own site, no portal")))))))))</f>
        <v/>
      </c>
      <c r="J26" s="6"/>
      <c r="K26" s="6"/>
      <c r="L26" s="6"/>
      <c r="M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5" t="str">
        <f aca="false">IF(A27="","",IF(D27="N","NO",IF(F27="Y","NO",IF(OR(D27="",E27=""),"MAYBE",IF(AND(E27&gt;=15,E27&lt;=120,C27&lt;&gt;"",G27&lt;&gt;""),"GOOD","MAYBE")))))</f>
        <v/>
      </c>
      <c r="I27" s="5" t="str">
        <f aca="false">IF(A27="","",IF(D27="N","Not PPRA registered",IF(F27="Y","Already has a tenant portal",IF(D27="","PPRA status unchecked",IF(E27="","Listing count unknown",IF(E27&lt;15,"Too small - likely under 15 units",IF(E27&gt;120,"Larger than the target band - may need debit orders day one",IF(C27="","No own website - weak white-label fit",IF(G27="","Need a role email address","Fits: size band, own site, no portal")))))))))</f>
        <v/>
      </c>
      <c r="J27" s="6"/>
      <c r="K27" s="6"/>
      <c r="L27" s="6"/>
      <c r="M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5" t="str">
        <f aca="false">IF(A28="","",IF(D28="N","NO",IF(F28="Y","NO",IF(OR(D28="",E28=""),"MAYBE",IF(AND(E28&gt;=15,E28&lt;=120,C28&lt;&gt;"",G28&lt;&gt;""),"GOOD","MAYBE")))))</f>
        <v/>
      </c>
      <c r="I28" s="5" t="str">
        <f aca="false">IF(A28="","",IF(D28="N","Not PPRA registered",IF(F28="Y","Already has a tenant portal",IF(D28="","PPRA status unchecked",IF(E28="","Listing count unknown",IF(E28&lt;15,"Too small - likely under 15 units",IF(E28&gt;120,"Larger than the target band - may need debit orders day one",IF(C28="","No own website - weak white-label fit",IF(G28="","Need a role email address","Fits: size band, own site, no portal")))))))))</f>
        <v/>
      </c>
      <c r="J28" s="6"/>
      <c r="K28" s="6"/>
      <c r="L28" s="6"/>
      <c r="M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5" t="str">
        <f aca="false">IF(A29="","",IF(D29="N","NO",IF(F29="Y","NO",IF(OR(D29="",E29=""),"MAYBE",IF(AND(E29&gt;=15,E29&lt;=120,C29&lt;&gt;"",G29&lt;&gt;""),"GOOD","MAYBE")))))</f>
        <v/>
      </c>
      <c r="I29" s="5" t="str">
        <f aca="false">IF(A29="","",IF(D29="N","Not PPRA registered",IF(F29="Y","Already has a tenant portal",IF(D29="","PPRA status unchecked",IF(E29="","Listing count unknown",IF(E29&lt;15,"Too small - likely under 15 units",IF(E29&gt;120,"Larger than the target band - may need debit orders day one",IF(C29="","No own website - weak white-label fit",IF(G29="","Need a role email address","Fits: size band, own site, no portal")))))))))</f>
        <v/>
      </c>
      <c r="J29" s="6"/>
      <c r="K29" s="6"/>
      <c r="L29" s="6"/>
      <c r="M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5" t="str">
        <f aca="false">IF(A30="","",IF(D30="N","NO",IF(F30="Y","NO",IF(OR(D30="",E30=""),"MAYBE",IF(AND(E30&gt;=15,E30&lt;=120,C30&lt;&gt;"",G30&lt;&gt;""),"GOOD","MAYBE")))))</f>
        <v/>
      </c>
      <c r="I30" s="5" t="str">
        <f aca="false">IF(A30="","",IF(D30="N","Not PPRA registered",IF(F30="Y","Already has a tenant portal",IF(D30="","PPRA status unchecked",IF(E30="","Listing count unknown",IF(E30&lt;15,"Too small - likely under 15 units",IF(E30&gt;120,"Larger than the target band - may need debit orders day one",IF(C30="","No own website - weak white-label fit",IF(G30="","Need a role email address","Fits: size band, own site, no portal")))))))))</f>
        <v/>
      </c>
      <c r="J30" s="6"/>
      <c r="K30" s="6"/>
      <c r="L30" s="6"/>
      <c r="M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5" t="str">
        <f aca="false">IF(A31="","",IF(D31="N","NO",IF(F31="Y","NO",IF(OR(D31="",E31=""),"MAYBE",IF(AND(E31&gt;=15,E31&lt;=120,C31&lt;&gt;"",G31&lt;&gt;""),"GOOD","MAYBE")))))</f>
        <v/>
      </c>
      <c r="I31" s="5" t="str">
        <f aca="false">IF(A31="","",IF(D31="N","Not PPRA registered",IF(F31="Y","Already has a tenant portal",IF(D31="","PPRA status unchecked",IF(E31="","Listing count unknown",IF(E31&lt;15,"Too small - likely under 15 units",IF(E31&gt;120,"Larger than the target band - may need debit orders day one",IF(C31="","No own website - weak white-label fit",IF(G31="","Need a role email address","Fits: size band, own site, no portal")))))))))</f>
        <v/>
      </c>
      <c r="J31" s="6"/>
      <c r="K31" s="6"/>
      <c r="L31" s="6"/>
      <c r="M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5" t="str">
        <f aca="false">IF(A32="","",IF(D32="N","NO",IF(F32="Y","NO",IF(OR(D32="",E32=""),"MAYBE",IF(AND(E32&gt;=15,E32&lt;=120,C32&lt;&gt;"",G32&lt;&gt;""),"GOOD","MAYBE")))))</f>
        <v/>
      </c>
      <c r="I32" s="5" t="str">
        <f aca="false">IF(A32="","",IF(D32="N","Not PPRA registered",IF(F32="Y","Already has a tenant portal",IF(D32="","PPRA status unchecked",IF(E32="","Listing count unknown",IF(E32&lt;15,"Too small - likely under 15 units",IF(E32&gt;120,"Larger than the target band - may need debit orders day one",IF(C32="","No own website - weak white-label fit",IF(G32="","Need a role email address","Fits: size band, own site, no portal")))))))))</f>
        <v/>
      </c>
      <c r="J32" s="6"/>
      <c r="K32" s="6"/>
      <c r="L32" s="6"/>
      <c r="M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5" t="str">
        <f aca="false">IF(A33="","",IF(D33="N","NO",IF(F33="Y","NO",IF(OR(D33="",E33=""),"MAYBE",IF(AND(E33&gt;=15,E33&lt;=120,C33&lt;&gt;"",G33&lt;&gt;""),"GOOD","MAYBE")))))</f>
        <v/>
      </c>
      <c r="I33" s="5" t="str">
        <f aca="false">IF(A33="","",IF(D33="N","Not PPRA registered",IF(F33="Y","Already has a tenant portal",IF(D33="","PPRA status unchecked",IF(E33="","Listing count unknown",IF(E33&lt;15,"Too small - likely under 15 units",IF(E33&gt;120,"Larger than the target band - may need debit orders day one",IF(C33="","No own website - weak white-label fit",IF(G33="","Need a role email address","Fits: size band, own site, no portal")))))))))</f>
        <v/>
      </c>
      <c r="J33" s="6"/>
      <c r="K33" s="6"/>
      <c r="L33" s="6"/>
      <c r="M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5" t="str">
        <f aca="false">IF(A34="","",IF(D34="N","NO",IF(F34="Y","NO",IF(OR(D34="",E34=""),"MAYBE",IF(AND(E34&gt;=15,E34&lt;=120,C34&lt;&gt;"",G34&lt;&gt;""),"GOOD","MAYBE")))))</f>
        <v/>
      </c>
      <c r="I34" s="5" t="str">
        <f aca="false">IF(A34="","",IF(D34="N","Not PPRA registered",IF(F34="Y","Already has a tenant portal",IF(D34="","PPRA status unchecked",IF(E34="","Listing count unknown",IF(E34&lt;15,"Too small - likely under 15 units",IF(E34&gt;120,"Larger than the target band - may need debit orders day one",IF(C34="","No own website - weak white-label fit",IF(G34="","Need a role email address","Fits: size band, own site, no portal")))))))))</f>
        <v/>
      </c>
      <c r="J34" s="6"/>
      <c r="K34" s="6"/>
      <c r="L34" s="6"/>
      <c r="M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5" t="str">
        <f aca="false">IF(A35="","",IF(D35="N","NO",IF(F35="Y","NO",IF(OR(D35="",E35=""),"MAYBE",IF(AND(E35&gt;=15,E35&lt;=120,C35&lt;&gt;"",G35&lt;&gt;""),"GOOD","MAYBE")))))</f>
        <v/>
      </c>
      <c r="I35" s="5" t="str">
        <f aca="false">IF(A35="","",IF(D35="N","Not PPRA registered",IF(F35="Y","Already has a tenant portal",IF(D35="","PPRA status unchecked",IF(E35="","Listing count unknown",IF(E35&lt;15,"Too small - likely under 15 units",IF(E35&gt;120,"Larger than the target band - may need debit orders day one",IF(C35="","No own website - weak white-label fit",IF(G35="","Need a role email address","Fits: size band, own site, no portal")))))))))</f>
        <v/>
      </c>
      <c r="J35" s="6"/>
      <c r="K35" s="6"/>
      <c r="L35" s="6"/>
      <c r="M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5" t="str">
        <f aca="false">IF(A36="","",IF(D36="N","NO",IF(F36="Y","NO",IF(OR(D36="",E36=""),"MAYBE",IF(AND(E36&gt;=15,E36&lt;=120,C36&lt;&gt;"",G36&lt;&gt;""),"GOOD","MAYBE")))))</f>
        <v/>
      </c>
      <c r="I36" s="5" t="str">
        <f aca="false">IF(A36="","",IF(D36="N","Not PPRA registered",IF(F36="Y","Already has a tenant portal",IF(D36="","PPRA status unchecked",IF(E36="","Listing count unknown",IF(E36&lt;15,"Too small - likely under 15 units",IF(E36&gt;120,"Larger than the target band - may need debit orders day one",IF(C36="","No own website - weak white-label fit",IF(G36="","Need a role email address","Fits: size band, own site, no portal")))))))))</f>
        <v/>
      </c>
      <c r="J36" s="6"/>
      <c r="K36" s="6"/>
      <c r="L36" s="6"/>
      <c r="M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5" t="str">
        <f aca="false">IF(A37="","",IF(D37="N","NO",IF(F37="Y","NO",IF(OR(D37="",E37=""),"MAYBE",IF(AND(E37&gt;=15,E37&lt;=120,C37&lt;&gt;"",G37&lt;&gt;""),"GOOD","MAYBE")))))</f>
        <v/>
      </c>
      <c r="I37" s="5" t="str">
        <f aca="false">IF(A37="","",IF(D37="N","Not PPRA registered",IF(F37="Y","Already has a tenant portal",IF(D37="","PPRA status unchecked",IF(E37="","Listing count unknown",IF(E37&lt;15,"Too small - likely under 15 units",IF(E37&gt;120,"Larger than the target band - may need debit orders day one",IF(C37="","No own website - weak white-label fit",IF(G37="","Need a role email address","Fits: size band, own site, no portal")))))))))</f>
        <v/>
      </c>
      <c r="J37" s="6"/>
      <c r="K37" s="6"/>
      <c r="L37" s="6"/>
      <c r="M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5" t="str">
        <f aca="false">IF(A38="","",IF(D38="N","NO",IF(F38="Y","NO",IF(OR(D38="",E38=""),"MAYBE",IF(AND(E38&gt;=15,E38&lt;=120,C38&lt;&gt;"",G38&lt;&gt;""),"GOOD","MAYBE")))))</f>
        <v/>
      </c>
      <c r="I38" s="5" t="str">
        <f aca="false">IF(A38="","",IF(D38="N","Not PPRA registered",IF(F38="Y","Already has a tenant portal",IF(D38="","PPRA status unchecked",IF(E38="","Listing count unknown",IF(E38&lt;15,"Too small - likely under 15 units",IF(E38&gt;120,"Larger than the target band - may need debit orders day one",IF(C38="","No own website - weak white-label fit",IF(G38="","Need a role email address","Fits: size band, own site, no portal")))))))))</f>
        <v/>
      </c>
      <c r="J38" s="6"/>
      <c r="K38" s="6"/>
      <c r="L38" s="6"/>
      <c r="M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5" t="str">
        <f aca="false">IF(A39="","",IF(D39="N","NO",IF(F39="Y","NO",IF(OR(D39="",E39=""),"MAYBE",IF(AND(E39&gt;=15,E39&lt;=120,C39&lt;&gt;"",G39&lt;&gt;""),"GOOD","MAYBE")))))</f>
        <v/>
      </c>
      <c r="I39" s="5" t="str">
        <f aca="false">IF(A39="","",IF(D39="N","Not PPRA registered",IF(F39="Y","Already has a tenant portal",IF(D39="","PPRA status unchecked",IF(E39="","Listing count unknown",IF(E39&lt;15,"Too small - likely under 15 units",IF(E39&gt;120,"Larger than the target band - may need debit orders day one",IF(C39="","No own website - weak white-label fit",IF(G39="","Need a role email address","Fits: size band, own site, no portal")))))))))</f>
        <v/>
      </c>
      <c r="J39" s="6"/>
      <c r="K39" s="6"/>
      <c r="L39" s="6"/>
      <c r="M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5" t="str">
        <f aca="false">IF(A40="","",IF(D40="N","NO",IF(F40="Y","NO",IF(OR(D40="",E40=""),"MAYBE",IF(AND(E40&gt;=15,E40&lt;=120,C40&lt;&gt;"",G40&lt;&gt;""),"GOOD","MAYBE")))))</f>
        <v/>
      </c>
      <c r="I40" s="5" t="str">
        <f aca="false">IF(A40="","",IF(D40="N","Not PPRA registered",IF(F40="Y","Already has a tenant portal",IF(D40="","PPRA status unchecked",IF(E40="","Listing count unknown",IF(E40&lt;15,"Too small - likely under 15 units",IF(E40&gt;120,"Larger than the target band - may need debit orders day one",IF(C40="","No own website - weak white-label fit",IF(G40="","Need a role email address","Fits: size band, own site, no portal")))))))))</f>
        <v/>
      </c>
      <c r="J40" s="6"/>
      <c r="K40" s="6"/>
      <c r="L40" s="6"/>
      <c r="M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5" t="str">
        <f aca="false">IF(A41="","",IF(D41="N","NO",IF(F41="Y","NO",IF(OR(D41="",E41=""),"MAYBE",IF(AND(E41&gt;=15,E41&lt;=120,C41&lt;&gt;"",G41&lt;&gt;""),"GOOD","MAYBE")))))</f>
        <v/>
      </c>
      <c r="I41" s="5" t="str">
        <f aca="false">IF(A41="","",IF(D41="N","Not PPRA registered",IF(F41="Y","Already has a tenant portal",IF(D41="","PPRA status unchecked",IF(E41="","Listing count unknown",IF(E41&lt;15,"Too small - likely under 15 units",IF(E41&gt;120,"Larger than the target band - may need debit orders day one",IF(C41="","No own website - weak white-label fit",IF(G41="","Need a role email address","Fits: size band, own site, no portal")))))))))</f>
        <v/>
      </c>
      <c r="J41" s="6"/>
      <c r="K41" s="6"/>
      <c r="L41" s="6"/>
      <c r="M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5" t="str">
        <f aca="false">IF(A42="","",IF(D42="N","NO",IF(F42="Y","NO",IF(OR(D42="",E42=""),"MAYBE",IF(AND(E42&gt;=15,E42&lt;=120,C42&lt;&gt;"",G42&lt;&gt;""),"GOOD","MAYBE")))))</f>
        <v/>
      </c>
      <c r="I42" s="5" t="str">
        <f aca="false">IF(A42="","",IF(D42="N","Not PPRA registered",IF(F42="Y","Already has a tenant portal",IF(D42="","PPRA status unchecked",IF(E42="","Listing count unknown",IF(E42&lt;15,"Too small - likely under 15 units",IF(E42&gt;120,"Larger than the target band - may need debit orders day one",IF(C42="","No own website - weak white-label fit",IF(G42="","Need a role email address","Fits: size band, own site, no portal")))))))))</f>
        <v/>
      </c>
      <c r="J42" s="6"/>
      <c r="K42" s="6"/>
      <c r="L42" s="6"/>
      <c r="M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5" t="str">
        <f aca="false">IF(A43="","",IF(D43="N","NO",IF(F43="Y","NO",IF(OR(D43="",E43=""),"MAYBE",IF(AND(E43&gt;=15,E43&lt;=120,C43&lt;&gt;"",G43&lt;&gt;""),"GOOD","MAYBE")))))</f>
        <v/>
      </c>
      <c r="I43" s="5" t="str">
        <f aca="false">IF(A43="","",IF(D43="N","Not PPRA registered",IF(F43="Y","Already has a tenant portal",IF(D43="","PPRA status unchecked",IF(E43="","Listing count unknown",IF(E43&lt;15,"Too small - likely under 15 units",IF(E43&gt;120,"Larger than the target band - may need debit orders day one",IF(C43="","No own website - weak white-label fit",IF(G43="","Need a role email address","Fits: size band, own site, no portal")))))))))</f>
        <v/>
      </c>
      <c r="J43" s="6"/>
      <c r="K43" s="6"/>
      <c r="L43" s="6"/>
      <c r="M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5" t="str">
        <f aca="false">IF(A44="","",IF(D44="N","NO",IF(F44="Y","NO",IF(OR(D44="",E44=""),"MAYBE",IF(AND(E44&gt;=15,E44&lt;=120,C44&lt;&gt;"",G44&lt;&gt;""),"GOOD","MAYBE")))))</f>
        <v/>
      </c>
      <c r="I44" s="5" t="str">
        <f aca="false">IF(A44="","",IF(D44="N","Not PPRA registered",IF(F44="Y","Already has a tenant portal",IF(D44="","PPRA status unchecked",IF(E44="","Listing count unknown",IF(E44&lt;15,"Too small - likely under 15 units",IF(E44&gt;120,"Larger than the target band - may need debit orders day one",IF(C44="","No own website - weak white-label fit",IF(G44="","Need a role email address","Fits: size band, own site, no portal")))))))))</f>
        <v/>
      </c>
      <c r="J44" s="6"/>
      <c r="K44" s="6"/>
      <c r="L44" s="6"/>
      <c r="M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5" t="str">
        <f aca="false">IF(A45="","",IF(D45="N","NO",IF(F45="Y","NO",IF(OR(D45="",E45=""),"MAYBE",IF(AND(E45&gt;=15,E45&lt;=120,C45&lt;&gt;"",G45&lt;&gt;""),"GOOD","MAYBE")))))</f>
        <v/>
      </c>
      <c r="I45" s="5" t="str">
        <f aca="false">IF(A45="","",IF(D45="N","Not PPRA registered",IF(F45="Y","Already has a tenant portal",IF(D45="","PPRA status unchecked",IF(E45="","Listing count unknown",IF(E45&lt;15,"Too small - likely under 15 units",IF(E45&gt;120,"Larger than the target band - may need debit orders day one",IF(C45="","No own website - weak white-label fit",IF(G45="","Need a role email address","Fits: size band, own site, no portal")))))))))</f>
        <v/>
      </c>
      <c r="J45" s="6"/>
      <c r="K45" s="6"/>
      <c r="L45" s="6"/>
      <c r="M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5" t="str">
        <f aca="false">IF(A46="","",IF(D46="N","NO",IF(F46="Y","NO",IF(OR(D46="",E46=""),"MAYBE",IF(AND(E46&gt;=15,E46&lt;=120,C46&lt;&gt;"",G46&lt;&gt;""),"GOOD","MAYBE")))))</f>
        <v/>
      </c>
      <c r="I46" s="5" t="str">
        <f aca="false">IF(A46="","",IF(D46="N","Not PPRA registered",IF(F46="Y","Already has a tenant portal",IF(D46="","PPRA status unchecked",IF(E46="","Listing count unknown",IF(E46&lt;15,"Too small - likely under 15 units",IF(E46&gt;120,"Larger than the target band - may need debit orders day one",IF(C46="","No own website - weak white-label fit",IF(G46="","Need a role email address","Fits: size band, own site, no portal")))))))))</f>
        <v/>
      </c>
      <c r="J46" s="6"/>
      <c r="K46" s="6"/>
      <c r="L46" s="6"/>
      <c r="M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5" t="str">
        <f aca="false">IF(A47="","",IF(D47="N","NO",IF(F47="Y","NO",IF(OR(D47="",E47=""),"MAYBE",IF(AND(E47&gt;=15,E47&lt;=120,C47&lt;&gt;"",G47&lt;&gt;""),"GOOD","MAYBE")))))</f>
        <v/>
      </c>
      <c r="I47" s="5" t="str">
        <f aca="false">IF(A47="","",IF(D47="N","Not PPRA registered",IF(F47="Y","Already has a tenant portal",IF(D47="","PPRA status unchecked",IF(E47="","Listing count unknown",IF(E47&lt;15,"Too small - likely under 15 units",IF(E47&gt;120,"Larger than the target band - may need debit orders day one",IF(C47="","No own website - weak white-label fit",IF(G47="","Need a role email address","Fits: size band, own site, no portal")))))))))</f>
        <v/>
      </c>
      <c r="J47" s="6"/>
      <c r="K47" s="6"/>
      <c r="L47" s="6"/>
      <c r="M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5" t="str">
        <f aca="false">IF(A48="","",IF(D48="N","NO",IF(F48="Y","NO",IF(OR(D48="",E48=""),"MAYBE",IF(AND(E48&gt;=15,E48&lt;=120,C48&lt;&gt;"",G48&lt;&gt;""),"GOOD","MAYBE")))))</f>
        <v/>
      </c>
      <c r="I48" s="5" t="str">
        <f aca="false">IF(A48="","",IF(D48="N","Not PPRA registered",IF(F48="Y","Already has a tenant portal",IF(D48="","PPRA status unchecked",IF(E48="","Listing count unknown",IF(E48&lt;15,"Too small - likely under 15 units",IF(E48&gt;120,"Larger than the target band - may need debit orders day one",IF(C48="","No own website - weak white-label fit",IF(G48="","Need a role email address","Fits: size band, own site, no portal")))))))))</f>
        <v/>
      </c>
      <c r="J48" s="6"/>
      <c r="K48" s="6"/>
      <c r="L48" s="6"/>
      <c r="M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5" t="str">
        <f aca="false">IF(A49="","",IF(D49="N","NO",IF(F49="Y","NO",IF(OR(D49="",E49=""),"MAYBE",IF(AND(E49&gt;=15,E49&lt;=120,C49&lt;&gt;"",G49&lt;&gt;""),"GOOD","MAYBE")))))</f>
        <v/>
      </c>
      <c r="I49" s="5" t="str">
        <f aca="false">IF(A49="","",IF(D49="N","Not PPRA registered",IF(F49="Y","Already has a tenant portal",IF(D49="","PPRA status unchecked",IF(E49="","Listing count unknown",IF(E49&lt;15,"Too small - likely under 15 units",IF(E49&gt;120,"Larger than the target band - may need debit orders day one",IF(C49="","No own website - weak white-label fit",IF(G49="","Need a role email address","Fits: size band, own site, no portal")))))))))</f>
        <v/>
      </c>
      <c r="J49" s="6"/>
      <c r="K49" s="6"/>
      <c r="L49" s="6"/>
      <c r="M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5" t="str">
        <f aca="false">IF(A50="","",IF(D50="N","NO",IF(F50="Y","NO",IF(OR(D50="",E50=""),"MAYBE",IF(AND(E50&gt;=15,E50&lt;=120,C50&lt;&gt;"",G50&lt;&gt;""),"GOOD","MAYBE")))))</f>
        <v/>
      </c>
      <c r="I50" s="5" t="str">
        <f aca="false">IF(A50="","",IF(D50="N","Not PPRA registered",IF(F50="Y","Already has a tenant portal",IF(D50="","PPRA status unchecked",IF(E50="","Listing count unknown",IF(E50&lt;15,"Too small - likely under 15 units",IF(E50&gt;120,"Larger than the target band - may need debit orders day one",IF(C50="","No own website - weak white-label fit",IF(G50="","Need a role email address","Fits: size band, own site, no portal")))))))))</f>
        <v/>
      </c>
      <c r="J50" s="6"/>
      <c r="K50" s="6"/>
      <c r="L50" s="6"/>
      <c r="M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5" t="str">
        <f aca="false">IF(A51="","",IF(D51="N","NO",IF(F51="Y","NO",IF(OR(D51="",E51=""),"MAYBE",IF(AND(E51&gt;=15,E51&lt;=120,C51&lt;&gt;"",G51&lt;&gt;""),"GOOD","MAYBE")))))</f>
        <v/>
      </c>
      <c r="I51" s="5" t="str">
        <f aca="false">IF(A51="","",IF(D51="N","Not PPRA registered",IF(F51="Y","Already has a tenant portal",IF(D51="","PPRA status unchecked",IF(E51="","Listing count unknown",IF(E51&lt;15,"Too small - likely under 15 units",IF(E51&gt;120,"Larger than the target band - may need debit orders day one",IF(C51="","No own website - weak white-label fit",IF(G51="","Need a role email address","Fits: size band, own site, no portal")))))))))</f>
        <v/>
      </c>
      <c r="J51" s="6"/>
      <c r="K51" s="6"/>
      <c r="L51" s="6"/>
      <c r="M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5" t="str">
        <f aca="false">IF(A52="","",IF(D52="N","NO",IF(F52="Y","NO",IF(OR(D52="",E52=""),"MAYBE",IF(AND(E52&gt;=15,E52&lt;=120,C52&lt;&gt;"",G52&lt;&gt;""),"GOOD","MAYBE")))))</f>
        <v/>
      </c>
      <c r="I52" s="5" t="str">
        <f aca="false">IF(A52="","",IF(D52="N","Not PPRA registered",IF(F52="Y","Already has a tenant portal",IF(D52="","PPRA status unchecked",IF(E52="","Listing count unknown",IF(E52&lt;15,"Too small - likely under 15 units",IF(E52&gt;120,"Larger than the target band - may need debit orders day one",IF(C52="","No own website - weak white-label fit",IF(G52="","Need a role email address","Fits: size band, own site, no portal")))))))))</f>
        <v/>
      </c>
      <c r="J52" s="6"/>
      <c r="K52" s="6"/>
      <c r="L52" s="6"/>
      <c r="M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5" t="str">
        <f aca="false">IF(A53="","",IF(D53="N","NO",IF(F53="Y","NO",IF(OR(D53="",E53=""),"MAYBE",IF(AND(E53&gt;=15,E53&lt;=120,C53&lt;&gt;"",G53&lt;&gt;""),"GOOD","MAYBE")))))</f>
        <v/>
      </c>
      <c r="I53" s="5" t="str">
        <f aca="false">IF(A53="","",IF(D53="N","Not PPRA registered",IF(F53="Y","Already has a tenant portal",IF(D53="","PPRA status unchecked",IF(E53="","Listing count unknown",IF(E53&lt;15,"Too small - likely under 15 units",IF(E53&gt;120,"Larger than the target band - may need debit orders day one",IF(C53="","No own website - weak white-label fit",IF(G53="","Need a role email address","Fits: size band, own site, no portal")))))))))</f>
        <v/>
      </c>
      <c r="J53" s="6"/>
      <c r="K53" s="6"/>
      <c r="L53" s="6"/>
      <c r="M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5" t="str">
        <f aca="false">IF(A54="","",IF(D54="N","NO",IF(F54="Y","NO",IF(OR(D54="",E54=""),"MAYBE",IF(AND(E54&gt;=15,E54&lt;=120,C54&lt;&gt;"",G54&lt;&gt;""),"GOOD","MAYBE")))))</f>
        <v/>
      </c>
      <c r="I54" s="5" t="str">
        <f aca="false">IF(A54="","",IF(D54="N","Not PPRA registered",IF(F54="Y","Already has a tenant portal",IF(D54="","PPRA status unchecked",IF(E54="","Listing count unknown",IF(E54&lt;15,"Too small - likely under 15 units",IF(E54&gt;120,"Larger than the target band - may need debit orders day one",IF(C54="","No own website - weak white-label fit",IF(G54="","Need a role email address","Fits: size band, own site, no portal")))))))))</f>
        <v/>
      </c>
      <c r="J54" s="6"/>
      <c r="K54" s="6"/>
      <c r="L54" s="6"/>
      <c r="M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5" t="str">
        <f aca="false">IF(A55="","",IF(D55="N","NO",IF(F55="Y","NO",IF(OR(D55="",E55=""),"MAYBE",IF(AND(E55&gt;=15,E55&lt;=120,C55&lt;&gt;"",G55&lt;&gt;""),"GOOD","MAYBE")))))</f>
        <v/>
      </c>
      <c r="I55" s="5" t="str">
        <f aca="false">IF(A55="","",IF(D55="N","Not PPRA registered",IF(F55="Y","Already has a tenant portal",IF(D55="","PPRA status unchecked",IF(E55="","Listing count unknown",IF(E55&lt;15,"Too small - likely under 15 units",IF(E55&gt;120,"Larger than the target band - may need debit orders day one",IF(C55="","No own website - weak white-label fit",IF(G55="","Need a role email address","Fits: size band, own site, no portal")))))))))</f>
        <v/>
      </c>
      <c r="J55" s="6"/>
      <c r="K55" s="6"/>
      <c r="L55" s="6"/>
      <c r="M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5" t="str">
        <f aca="false">IF(A56="","",IF(D56="N","NO",IF(F56="Y","NO",IF(OR(D56="",E56=""),"MAYBE",IF(AND(E56&gt;=15,E56&lt;=120,C56&lt;&gt;"",G56&lt;&gt;""),"GOOD","MAYBE")))))</f>
        <v/>
      </c>
      <c r="I56" s="5" t="str">
        <f aca="false">IF(A56="","",IF(D56="N","Not PPRA registered",IF(F56="Y","Already has a tenant portal",IF(D56="","PPRA status unchecked",IF(E56="","Listing count unknown",IF(E56&lt;15,"Too small - likely under 15 units",IF(E56&gt;120,"Larger than the target band - may need debit orders day one",IF(C56="","No own website - weak white-label fit",IF(G56="","Need a role email address","Fits: size band, own site, no portal")))))))))</f>
        <v/>
      </c>
      <c r="J56" s="6"/>
      <c r="K56" s="6"/>
      <c r="L56" s="6"/>
      <c r="M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5" t="str">
        <f aca="false">IF(A57="","",IF(D57="N","NO",IF(F57="Y","NO",IF(OR(D57="",E57=""),"MAYBE",IF(AND(E57&gt;=15,E57&lt;=120,C57&lt;&gt;"",G57&lt;&gt;""),"GOOD","MAYBE")))))</f>
        <v/>
      </c>
      <c r="I57" s="5" t="str">
        <f aca="false">IF(A57="","",IF(D57="N","Not PPRA registered",IF(F57="Y","Already has a tenant portal",IF(D57="","PPRA status unchecked",IF(E57="","Listing count unknown",IF(E57&lt;15,"Too small - likely under 15 units",IF(E57&gt;120,"Larger than the target band - may need debit orders day one",IF(C57="","No own website - weak white-label fit",IF(G57="","Need a role email address","Fits: size band, own site, no portal")))))))))</f>
        <v/>
      </c>
      <c r="J57" s="6"/>
      <c r="K57" s="6"/>
      <c r="L57" s="6"/>
      <c r="M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5" t="str">
        <f aca="false">IF(A58="","",IF(D58="N","NO",IF(F58="Y","NO",IF(OR(D58="",E58=""),"MAYBE",IF(AND(E58&gt;=15,E58&lt;=120,C58&lt;&gt;"",G58&lt;&gt;""),"GOOD","MAYBE")))))</f>
        <v/>
      </c>
      <c r="I58" s="5" t="str">
        <f aca="false">IF(A58="","",IF(D58="N","Not PPRA registered",IF(F58="Y","Already has a tenant portal",IF(D58="","PPRA status unchecked",IF(E58="","Listing count unknown",IF(E58&lt;15,"Too small - likely under 15 units",IF(E58&gt;120,"Larger than the target band - may need debit orders day one",IF(C58="","No own website - weak white-label fit",IF(G58="","Need a role email address","Fits: size band, own site, no portal")))))))))</f>
        <v/>
      </c>
      <c r="J58" s="6"/>
      <c r="K58" s="6"/>
      <c r="L58" s="6"/>
      <c r="M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5" t="str">
        <f aca="false">IF(A59="","",IF(D59="N","NO",IF(F59="Y","NO",IF(OR(D59="",E59=""),"MAYBE",IF(AND(E59&gt;=15,E59&lt;=120,C59&lt;&gt;"",G59&lt;&gt;""),"GOOD","MAYBE")))))</f>
        <v/>
      </c>
      <c r="I59" s="5" t="str">
        <f aca="false">IF(A59="","",IF(D59="N","Not PPRA registered",IF(F59="Y","Already has a tenant portal",IF(D59="","PPRA status unchecked",IF(E59="","Listing count unknown",IF(E59&lt;15,"Too small - likely under 15 units",IF(E59&gt;120,"Larger than the target band - may need debit orders day one",IF(C59="","No own website - weak white-label fit",IF(G59="","Need a role email address","Fits: size band, own site, no portal")))))))))</f>
        <v/>
      </c>
      <c r="J59" s="6"/>
      <c r="K59" s="6"/>
      <c r="L59" s="6"/>
      <c r="M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5" t="str">
        <f aca="false">IF(A60="","",IF(D60="N","NO",IF(F60="Y","NO",IF(OR(D60="",E60=""),"MAYBE",IF(AND(E60&gt;=15,E60&lt;=120,C60&lt;&gt;"",G60&lt;&gt;""),"GOOD","MAYBE")))))</f>
        <v/>
      </c>
      <c r="I60" s="5" t="str">
        <f aca="false">IF(A60="","",IF(D60="N","Not PPRA registered",IF(F60="Y","Already has a tenant portal",IF(D60="","PPRA status unchecked",IF(E60="","Listing count unknown",IF(E60&lt;15,"Too small - likely under 15 units",IF(E60&gt;120,"Larger than the target band - may need debit orders day one",IF(C60="","No own website - weak white-label fit",IF(G60="","Need a role email address","Fits: size band, own site, no portal")))))))))</f>
        <v/>
      </c>
      <c r="J60" s="6"/>
      <c r="K60" s="6"/>
      <c r="L60" s="6"/>
      <c r="M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5" t="str">
        <f aca="false">IF(A61="","",IF(D61="N","NO",IF(F61="Y","NO",IF(OR(D61="",E61=""),"MAYBE",IF(AND(E61&gt;=15,E61&lt;=120,C61&lt;&gt;"",G61&lt;&gt;""),"GOOD","MAYBE")))))</f>
        <v/>
      </c>
      <c r="I61" s="5" t="str">
        <f aca="false">IF(A61="","",IF(D61="N","Not PPRA registered",IF(F61="Y","Already has a tenant portal",IF(D61="","PPRA status unchecked",IF(E61="","Listing count unknown",IF(E61&lt;15,"Too small - likely under 15 units",IF(E61&gt;120,"Larger than the target band - may need debit orders day one",IF(C61="","No own website - weak white-label fit",IF(G61="","Need a role email address","Fits: size band, own site, no portal")))))))))</f>
        <v/>
      </c>
      <c r="J61" s="6"/>
      <c r="K61" s="6"/>
      <c r="L61" s="6"/>
      <c r="M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5" t="str">
        <f aca="false">IF(A62="","",IF(D62="N","NO",IF(F62="Y","NO",IF(OR(D62="",E62=""),"MAYBE",IF(AND(E62&gt;=15,E62&lt;=120,C62&lt;&gt;"",G62&lt;&gt;""),"GOOD","MAYBE")))))</f>
        <v/>
      </c>
      <c r="I62" s="5" t="str">
        <f aca="false">IF(A62="","",IF(D62="N","Not PPRA registered",IF(F62="Y","Already has a tenant portal",IF(D62="","PPRA status unchecked",IF(E62="","Listing count unknown",IF(E62&lt;15,"Too small - likely under 15 units",IF(E62&gt;120,"Larger than the target band - may need debit orders day one",IF(C62="","No own website - weak white-label fit",IF(G62="","Need a role email address","Fits: size band, own site, no portal")))))))))</f>
        <v/>
      </c>
      <c r="J62" s="6"/>
      <c r="K62" s="6"/>
      <c r="L62" s="6"/>
      <c r="M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5" t="str">
        <f aca="false">IF(A63="","",IF(D63="N","NO",IF(F63="Y","NO",IF(OR(D63="",E63=""),"MAYBE",IF(AND(E63&gt;=15,E63&lt;=120,C63&lt;&gt;"",G63&lt;&gt;""),"GOOD","MAYBE")))))</f>
        <v/>
      </c>
      <c r="I63" s="5" t="str">
        <f aca="false">IF(A63="","",IF(D63="N","Not PPRA registered",IF(F63="Y","Already has a tenant portal",IF(D63="","PPRA status unchecked",IF(E63="","Listing count unknown",IF(E63&lt;15,"Too small - likely under 15 units",IF(E63&gt;120,"Larger than the target band - may need debit orders day one",IF(C63="","No own website - weak white-label fit",IF(G63="","Need a role email address","Fits: size band, own site, no portal")))))))))</f>
        <v/>
      </c>
      <c r="J63" s="6"/>
      <c r="K63" s="6"/>
      <c r="L63" s="6"/>
      <c r="M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5" t="str">
        <f aca="false">IF(A64="","",IF(D64="N","NO",IF(F64="Y","NO",IF(OR(D64="",E64=""),"MAYBE",IF(AND(E64&gt;=15,E64&lt;=120,C64&lt;&gt;"",G64&lt;&gt;""),"GOOD","MAYBE")))))</f>
        <v/>
      </c>
      <c r="I64" s="5" t="str">
        <f aca="false">IF(A64="","",IF(D64="N","Not PPRA registered",IF(F64="Y","Already has a tenant portal",IF(D64="","PPRA status unchecked",IF(E64="","Listing count unknown",IF(E64&lt;15,"Too small - likely under 15 units",IF(E64&gt;120,"Larger than the target band - may need debit orders day one",IF(C64="","No own website - weak white-label fit",IF(G64="","Need a role email address","Fits: size band, own site, no portal")))))))))</f>
        <v/>
      </c>
      <c r="J64" s="6"/>
      <c r="K64" s="6"/>
      <c r="L64" s="6"/>
      <c r="M64" s="6"/>
    </row>
    <row r="67" customFormat="false" ht="15" hidden="false" customHeight="false" outlineLevel="0" collapsed="false">
      <c r="A67" s="7" t="s">
        <v>21</v>
      </c>
    </row>
    <row r="68" customFormat="false" ht="15" hidden="false" customHeight="false" outlineLevel="0" collapsed="false">
      <c r="A68" s="8" t="s">
        <v>22</v>
      </c>
      <c r="B68" s="9" t="n">
        <f aca="false">COUNTA(A5:A64)-1</f>
        <v>0</v>
      </c>
      <c r="C68" s="2" t="s">
        <v>23</v>
      </c>
    </row>
    <row r="69" customFormat="false" ht="15" hidden="false" customHeight="false" outlineLevel="0" collapsed="false">
      <c r="A69" s="8" t="s">
        <v>24</v>
      </c>
      <c r="B69" s="9" t="n">
        <f aca="false">COUNTIF(H5:H64,"GOOD")</f>
        <v>1</v>
      </c>
    </row>
    <row r="70" customFormat="false" ht="15" hidden="false" customHeight="false" outlineLevel="0" collapsed="false">
      <c r="A70" s="8" t="s">
        <v>25</v>
      </c>
      <c r="B70" s="9" t="n">
        <f aca="false">COUNT(J5:J64)</f>
        <v>0</v>
      </c>
    </row>
    <row r="71" customFormat="false" ht="15" hidden="false" customHeight="false" outlineLevel="0" collapsed="false">
      <c r="A71" s="8" t="s">
        <v>26</v>
      </c>
      <c r="B71" s="9" t="n">
        <f aca="false">COUNTIF(L5:L64,"Replied")+COUNTIF(L5:L64,"Demo booked")+COUNTIF(L5:L64,"Won")</f>
        <v>0</v>
      </c>
    </row>
    <row r="72" customFormat="false" ht="15" hidden="false" customHeight="false" outlineLevel="0" collapsed="false">
      <c r="A72" s="8" t="s">
        <v>27</v>
      </c>
      <c r="B72" s="10" t="str">
        <f aca="false">IF(COUNT(J5:J64)=0,"-",(COUNTIF(L5:L64,"Replied")+COUNTIF(L5:L64,"Demo booked")+COUNTIF(L5:L64,"Won"))/COUNT(J5:J64))</f>
        <v>-</v>
      </c>
    </row>
    <row r="73" customFormat="false" ht="15" hidden="false" customHeight="false" outlineLevel="0" collapsed="false">
      <c r="A73" s="8" t="s">
        <v>28</v>
      </c>
      <c r="B73" s="9" t="n">
        <f aca="false">COUNTIF(L5:L64,"Opted out")</f>
        <v>0</v>
      </c>
      <c r="C73" s="11" t="s">
        <v>29</v>
      </c>
    </row>
  </sheetData>
  <autoFilter ref="A4:M64"/>
  <dataValidations count="2">
    <dataValidation allowBlank="true" errorStyle="stop" operator="between" showDropDown="false" showErrorMessage="false" showInputMessage="false" sqref="D5:D64 F5:F64" type="list">
      <formula1>"Y,N,?"</formula1>
      <formula2>0</formula2>
    </dataValidation>
    <dataValidation allowBlank="true" errorStyle="stop" operator="between" showDropDown="false" showErrorMessage="false" showInputMessage="false" sqref="L5:L64" type="list">
      <formula1>"Replied,Demo booked,Won,Lost,No reply,Opted 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74"/>
  </cols>
  <sheetData>
    <row r="1" customFormat="false" ht="16.15" hidden="false" customHeight="false" outlineLevel="0" collapsed="false">
      <c r="A1" s="1" t="s">
        <v>30</v>
      </c>
    </row>
    <row r="3" customFormat="false" ht="15" hidden="false" customHeight="false" outlineLevel="0" collapsed="false">
      <c r="A3" s="12" t="s">
        <v>31</v>
      </c>
    </row>
    <row r="4" customFormat="false" ht="45.75" hidden="false" customHeight="true" outlineLevel="0" collapsed="false">
      <c r="A4" s="13" t="s">
        <v>32</v>
      </c>
      <c r="B4" s="8" t="s">
        <v>33</v>
      </c>
      <c r="C4" s="14" t="s">
        <v>34</v>
      </c>
    </row>
    <row r="5" customFormat="false" ht="45.75" hidden="false" customHeight="true" outlineLevel="0" collapsed="false">
      <c r="A5" s="13" t="s">
        <v>35</v>
      </c>
      <c r="B5" s="8" t="s">
        <v>36</v>
      </c>
      <c r="C5" s="14" t="s">
        <v>37</v>
      </c>
    </row>
    <row r="6" customFormat="false" ht="45.75" hidden="false" customHeight="true" outlineLevel="0" collapsed="false">
      <c r="A6" s="13" t="s">
        <v>38</v>
      </c>
      <c r="B6" s="8" t="s">
        <v>39</v>
      </c>
      <c r="C6" s="14" t="s">
        <v>40</v>
      </c>
    </row>
    <row r="7" customFormat="false" ht="45.75" hidden="false" customHeight="true" outlineLevel="0" collapsed="false">
      <c r="A7" s="13" t="s">
        <v>41</v>
      </c>
      <c r="B7" s="8" t="s">
        <v>42</v>
      </c>
      <c r="C7" s="14" t="s">
        <v>43</v>
      </c>
    </row>
    <row r="9" customFormat="false" ht="15" hidden="false" customHeight="false" outlineLevel="0" collapsed="false">
      <c r="A9" s="15" t="s">
        <v>44</v>
      </c>
    </row>
    <row r="10" customFormat="false" ht="30" hidden="false" customHeight="true" outlineLevel="0" collapsed="false">
      <c r="A10" s="16" t="s">
        <v>45</v>
      </c>
      <c r="B10" s="16"/>
      <c r="C10" s="16"/>
    </row>
    <row r="11" customFormat="false" ht="30" hidden="false" customHeight="true" outlineLevel="0" collapsed="false">
      <c r="A11" s="16" t="s">
        <v>46</v>
      </c>
      <c r="B11" s="16"/>
      <c r="C11" s="16"/>
    </row>
    <row r="12" customFormat="false" ht="30" hidden="false" customHeight="true" outlineLevel="0" collapsed="false">
      <c r="A12" s="16" t="s">
        <v>47</v>
      </c>
      <c r="B12" s="16"/>
      <c r="C12" s="16"/>
    </row>
    <row r="14" customFormat="false" ht="15" hidden="false" customHeight="false" outlineLevel="0" collapsed="false">
      <c r="A14" s="12" t="s">
        <v>48</v>
      </c>
    </row>
    <row r="15" customFormat="false" ht="51.75" hidden="false" customHeight="true" outlineLevel="0" collapsed="false">
      <c r="A15" s="17" t="s">
        <v>49</v>
      </c>
      <c r="B15" s="17"/>
      <c r="C15" s="17"/>
    </row>
    <row r="17" customFormat="false" ht="15" hidden="false" customHeight="false" outlineLevel="0" collapsed="false">
      <c r="A17" s="12" t="s">
        <v>50</v>
      </c>
    </row>
    <row r="18" customFormat="false" ht="15" hidden="false" customHeight="false" outlineLevel="0" collapsed="false">
      <c r="A18" s="2" t="s">
        <v>51</v>
      </c>
    </row>
    <row r="19" customFormat="false" ht="15" hidden="false" customHeight="false" outlineLevel="0" collapsed="false">
      <c r="A19" s="18" t="s">
        <v>3</v>
      </c>
      <c r="B19" s="18" t="s">
        <v>52</v>
      </c>
      <c r="C19" s="18" t="s">
        <v>53</v>
      </c>
    </row>
    <row r="20" customFormat="false" ht="15" hidden="false" customHeight="false" outlineLevel="0" collapsed="false">
      <c r="A20" s="6" t="s">
        <v>54</v>
      </c>
      <c r="B20" s="19"/>
      <c r="C20" s="20"/>
    </row>
    <row r="21" customFormat="false" ht="15" hidden="false" customHeight="false" outlineLevel="0" collapsed="false">
      <c r="A21" s="6" t="s">
        <v>16</v>
      </c>
      <c r="B21" s="19"/>
      <c r="C21" s="20"/>
    </row>
    <row r="22" customFormat="false" ht="15" hidden="false" customHeight="false" outlineLevel="0" collapsed="false">
      <c r="A22" s="6" t="s">
        <v>55</v>
      </c>
      <c r="B22" s="19"/>
      <c r="C22" s="20"/>
    </row>
    <row r="23" customFormat="false" ht="15" hidden="false" customHeight="false" outlineLevel="0" collapsed="false">
      <c r="A23" s="6" t="s">
        <v>56</v>
      </c>
      <c r="B23" s="19"/>
      <c r="C23" s="20"/>
    </row>
    <row r="24" customFormat="false" ht="15" hidden="false" customHeight="false" outlineLevel="0" collapsed="false">
      <c r="A24" s="6" t="s">
        <v>57</v>
      </c>
      <c r="B24" s="19"/>
      <c r="C24" s="20"/>
    </row>
    <row r="25" customFormat="false" ht="15" hidden="false" customHeight="false" outlineLevel="0" collapsed="false">
      <c r="A25" s="6" t="s">
        <v>58</v>
      </c>
      <c r="B25" s="19"/>
      <c r="C25" s="20"/>
    </row>
    <row r="26" customFormat="false" ht="15" hidden="false" customHeight="false" outlineLevel="0" collapsed="false">
      <c r="A26" s="6" t="s">
        <v>59</v>
      </c>
      <c r="B26" s="19"/>
      <c r="C26" s="20"/>
    </row>
    <row r="27" customFormat="false" ht="15" hidden="false" customHeight="false" outlineLevel="0" collapsed="false">
      <c r="A27" s="6" t="s">
        <v>60</v>
      </c>
      <c r="B27" s="19"/>
      <c r="C27" s="20"/>
    </row>
    <row r="28" customFormat="false" ht="15" hidden="false" customHeight="false" outlineLevel="0" collapsed="false">
      <c r="A28" s="6" t="s">
        <v>61</v>
      </c>
      <c r="B28" s="19"/>
      <c r="C28" s="20"/>
    </row>
    <row r="29" customFormat="false" ht="15" hidden="false" customHeight="false" outlineLevel="0" collapsed="false">
      <c r="A29" s="6" t="s">
        <v>62</v>
      </c>
      <c r="B29" s="19"/>
      <c r="C29" s="20"/>
    </row>
    <row r="30" customFormat="false" ht="15" hidden="false" customHeight="false" outlineLevel="0" collapsed="false">
      <c r="A30" s="6" t="s">
        <v>63</v>
      </c>
      <c r="B30" s="19"/>
      <c r="C30" s="20"/>
    </row>
    <row r="31" customFormat="false" ht="15" hidden="false" customHeight="false" outlineLevel="0" collapsed="false">
      <c r="A31" s="6" t="s">
        <v>64</v>
      </c>
      <c r="B31" s="19"/>
      <c r="C31" s="20"/>
    </row>
    <row r="32" customFormat="false" ht="15" hidden="false" customHeight="false" outlineLevel="0" collapsed="false">
      <c r="A32" s="6" t="s">
        <v>65</v>
      </c>
      <c r="B32" s="19"/>
      <c r="C32" s="20"/>
    </row>
    <row r="33" customFormat="false" ht="15" hidden="false" customHeight="false" outlineLevel="0" collapsed="false">
      <c r="A33" s="6" t="s">
        <v>66</v>
      </c>
      <c r="B33" s="19"/>
      <c r="C33" s="20"/>
    </row>
    <row r="34" customFormat="false" ht="15" hidden="false" customHeight="false" outlineLevel="0" collapsed="false">
      <c r="A34" s="6" t="s">
        <v>67</v>
      </c>
      <c r="B34" s="19"/>
      <c r="C34" s="20"/>
    </row>
    <row r="35" customFormat="false" ht="15" hidden="false" customHeight="false" outlineLevel="0" collapsed="false">
      <c r="A35" s="6" t="s">
        <v>68</v>
      </c>
      <c r="B35" s="19"/>
      <c r="C35" s="20"/>
    </row>
    <row r="36" customFormat="false" ht="15" hidden="false" customHeight="false" outlineLevel="0" collapsed="false">
      <c r="A36" s="6" t="s">
        <v>69</v>
      </c>
      <c r="B36" s="19"/>
      <c r="C36" s="20"/>
    </row>
    <row r="37" customFormat="false" ht="15" hidden="false" customHeight="false" outlineLevel="0" collapsed="false">
      <c r="A37" s="6" t="s">
        <v>70</v>
      </c>
      <c r="B37" s="19"/>
      <c r="C37" s="20"/>
    </row>
    <row r="38" customFormat="false" ht="15" hidden="false" customHeight="false" outlineLevel="0" collapsed="false">
      <c r="A38" s="6" t="s">
        <v>71</v>
      </c>
      <c r="B38" s="19"/>
      <c r="C38" s="20"/>
    </row>
    <row r="39" customFormat="false" ht="15" hidden="false" customHeight="false" outlineLevel="0" collapsed="false">
      <c r="A39" s="6" t="s">
        <v>72</v>
      </c>
      <c r="B39" s="19"/>
      <c r="C39" s="20"/>
    </row>
    <row r="40" customFormat="false" ht="15" hidden="false" customHeight="false" outlineLevel="0" collapsed="false">
      <c r="A40" s="6" t="s">
        <v>73</v>
      </c>
      <c r="B40" s="19"/>
      <c r="C40" s="20"/>
    </row>
    <row r="41" customFormat="false" ht="15" hidden="false" customHeight="false" outlineLevel="0" collapsed="false">
      <c r="A41" s="6" t="s">
        <v>74</v>
      </c>
      <c r="B41" s="19"/>
      <c r="C41" s="20"/>
    </row>
    <row r="42" customFormat="false" ht="15" hidden="false" customHeight="false" outlineLevel="0" collapsed="false">
      <c r="A42" s="6" t="s">
        <v>75</v>
      </c>
      <c r="B42" s="19"/>
      <c r="C42" s="20"/>
    </row>
    <row r="43" customFormat="false" ht="15" hidden="false" customHeight="false" outlineLevel="0" collapsed="false">
      <c r="A43" s="6" t="s">
        <v>76</v>
      </c>
      <c r="B43" s="19"/>
      <c r="C43" s="20"/>
    </row>
    <row r="44" customFormat="false" ht="15" hidden="false" customHeight="false" outlineLevel="0" collapsed="false">
      <c r="A44" s="6" t="s">
        <v>77</v>
      </c>
      <c r="B44" s="19"/>
      <c r="C44" s="20"/>
    </row>
    <row r="45" customFormat="false" ht="15" hidden="false" customHeight="false" outlineLevel="0" collapsed="false">
      <c r="A45" s="6" t="s">
        <v>78</v>
      </c>
      <c r="B45" s="19"/>
      <c r="C45" s="20"/>
    </row>
    <row r="46" customFormat="false" ht="15" hidden="false" customHeight="false" outlineLevel="0" collapsed="false">
      <c r="A46" s="6" t="s">
        <v>79</v>
      </c>
      <c r="B46" s="19"/>
      <c r="C46" s="20"/>
    </row>
    <row r="47" customFormat="false" ht="15" hidden="false" customHeight="false" outlineLevel="0" collapsed="false">
      <c r="A47" s="6" t="s">
        <v>80</v>
      </c>
      <c r="B47" s="19"/>
      <c r="C47" s="20"/>
    </row>
    <row r="48" customFormat="false" ht="15" hidden="false" customHeight="false" outlineLevel="0" collapsed="false">
      <c r="A48" s="6" t="s">
        <v>81</v>
      </c>
      <c r="B48" s="19"/>
      <c r="C48" s="20"/>
    </row>
    <row r="49" customFormat="false" ht="15" hidden="false" customHeight="false" outlineLevel="0" collapsed="false">
      <c r="A49" s="6" t="s">
        <v>82</v>
      </c>
      <c r="B49" s="19"/>
      <c r="C49" s="20"/>
    </row>
    <row r="50" customFormat="false" ht="15" hidden="false" customHeight="false" outlineLevel="0" collapsed="false">
      <c r="A50" s="6" t="s">
        <v>83</v>
      </c>
      <c r="B50" s="19"/>
      <c r="C50" s="20"/>
    </row>
    <row r="51" customFormat="false" ht="15" hidden="false" customHeight="false" outlineLevel="0" collapsed="false">
      <c r="A51" s="6" t="s">
        <v>84</v>
      </c>
      <c r="B51" s="19"/>
      <c r="C51" s="20"/>
    </row>
    <row r="53" customFormat="false" ht="15" hidden="false" customHeight="false" outlineLevel="0" collapsed="false">
      <c r="A53" s="2" t="s">
        <v>85</v>
      </c>
    </row>
  </sheetData>
  <mergeCells count="4">
    <mergeCell ref="A10:C10"/>
    <mergeCell ref="A11:C11"/>
    <mergeCell ref="A12:C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1" t="s">
        <v>87</v>
      </c>
      <c r="B2" s="21"/>
      <c r="C2" s="21"/>
    </row>
    <row r="3" customFormat="false" ht="15" hidden="false" customHeight="false" outlineLevel="0" collapsed="false">
      <c r="A3" s="18" t="s">
        <v>88</v>
      </c>
      <c r="B3" s="18" t="s">
        <v>89</v>
      </c>
      <c r="C3" s="18" t="s">
        <v>90</v>
      </c>
    </row>
    <row r="4" customFormat="false" ht="15" hidden="false" customHeight="false" outlineLevel="0" collapsed="false">
      <c r="A4" s="6"/>
      <c r="B4" s="6"/>
      <c r="C4" s="6"/>
    </row>
    <row r="5" customFormat="false" ht="15" hidden="false" customHeight="false" outlineLevel="0" collapsed="false">
      <c r="A5" s="6"/>
      <c r="B5" s="6"/>
      <c r="C5" s="6"/>
    </row>
    <row r="6" customFormat="false" ht="15" hidden="false" customHeight="false" outlineLevel="0" collapsed="false">
      <c r="A6" s="6"/>
      <c r="B6" s="6"/>
      <c r="C6" s="6"/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6"/>
      <c r="B8" s="6"/>
      <c r="C8" s="6"/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6"/>
      <c r="B10" s="6"/>
      <c r="C10" s="6"/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A24" s="6"/>
      <c r="B24" s="6"/>
      <c r="C24" s="6"/>
    </row>
    <row r="25" customFormat="false" ht="15" hidden="false" customHeight="false" outlineLevel="0" collapsed="false">
      <c r="A25" s="6"/>
      <c r="B25" s="6"/>
      <c r="C25" s="6"/>
    </row>
    <row r="26" customFormat="false" ht="15" hidden="false" customHeight="false" outlineLevel="0" collapsed="false">
      <c r="A26" s="6"/>
      <c r="B26" s="6"/>
      <c r="C26" s="6"/>
    </row>
    <row r="27" customFormat="false" ht="15" hidden="false" customHeight="false" outlineLevel="0" collapsed="false">
      <c r="A27" s="6"/>
      <c r="B27" s="6"/>
      <c r="C27" s="6"/>
    </row>
    <row r="28" customFormat="false" ht="15" hidden="false" customHeight="false" outlineLevel="0" collapsed="false">
      <c r="A28" s="6"/>
      <c r="B28" s="6"/>
      <c r="C28" s="6"/>
    </row>
    <row r="29" customFormat="false" ht="15" hidden="false" customHeight="false" outlineLevel="0" collapsed="false">
      <c r="A29" s="6"/>
      <c r="B29" s="6"/>
      <c r="C29" s="6"/>
    </row>
    <row r="30" customFormat="false" ht="15" hidden="false" customHeight="false" outlineLevel="0" collapsed="false">
      <c r="A30" s="6"/>
      <c r="B30" s="6"/>
      <c r="C30" s="6"/>
    </row>
    <row r="31" customFormat="false" ht="15" hidden="false" customHeight="false" outlineLevel="0" collapsed="false">
      <c r="A31" s="6"/>
      <c r="B31" s="6"/>
      <c r="C31" s="6"/>
    </row>
    <row r="32" customFormat="false" ht="15" hidden="false" customHeight="false" outlineLevel="0" collapsed="false">
      <c r="A32" s="6"/>
      <c r="B32" s="6"/>
      <c r="C32" s="6"/>
    </row>
    <row r="33" customFormat="false" ht="15" hidden="false" customHeight="false" outlineLevel="0" collapsed="false">
      <c r="A33" s="6"/>
      <c r="B33" s="6"/>
      <c r="C33" s="6"/>
    </row>
    <row r="34" customFormat="false" ht="15" hidden="false" customHeight="false" outlineLevel="0" collapsed="false">
      <c r="A34" s="6"/>
      <c r="B34" s="6"/>
      <c r="C34" s="6"/>
    </row>
    <row r="35" customFormat="false" ht="15" hidden="false" customHeight="false" outlineLevel="0" collapsed="false">
      <c r="A35" s="6"/>
      <c r="B35" s="6"/>
      <c r="C35" s="6"/>
    </row>
    <row r="36" customFormat="false" ht="15" hidden="false" customHeight="false" outlineLevel="0" collapsed="false">
      <c r="A36" s="6"/>
      <c r="B36" s="6"/>
      <c r="C36" s="6"/>
    </row>
    <row r="37" customFormat="false" ht="15" hidden="false" customHeight="false" outlineLevel="0" collapsed="false">
      <c r="A37" s="6"/>
      <c r="B37" s="6"/>
      <c r="C37" s="6"/>
    </row>
    <row r="38" customFormat="false" ht="15" hidden="false" customHeight="false" outlineLevel="0" collapsed="false">
      <c r="A38" s="6"/>
      <c r="B38" s="6"/>
      <c r="C38" s="6"/>
    </row>
    <row r="39" customFormat="false" ht="15" hidden="false" customHeight="false" outlineLevel="0" collapsed="false">
      <c r="A39" s="6"/>
      <c r="B39" s="6"/>
      <c r="C39" s="6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2026-08-27T19:04:50Z</dcterms:created>
  <dc:creator>openpyxl</dc:creator>
  <dc:description/>
  <dc:language>en-US</dc:language>
  <cp:lastModifiedBy/>
  <dcterms:modified xsi:type="dcterms:W3CDTF">2026-08-27T19:05:36Z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